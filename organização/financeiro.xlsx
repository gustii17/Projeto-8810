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d.docs.live.net/f0dc346bbebe6133/trabalhos/extensão/Laboratorios/Projeto 8810/organização/"/>
    </mc:Choice>
  </mc:AlternateContent>
  <xr:revisionPtr revIDLastSave="0" documentId="8_{AFFF33B0-1F9F-4136-AAB3-5FF0499884E7}" xr6:coauthVersionLast="47" xr6:coauthVersionMax="47" xr10:uidLastSave="{00000000-0000-0000-0000-000000000000}"/>
  <bookViews>
    <workbookView xWindow="-108" yWindow="-108" windowWidth="23256" windowHeight="12456" xr2:uid="{91EBBB2C-6495-4D47-93CF-44597EB1974F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4" i="1"/>
  <c r="H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" i="1"/>
</calcChain>
</file>

<file path=xl/sharedStrings.xml><?xml version="1.0" encoding="utf-8"?>
<sst xmlns="http://schemas.openxmlformats.org/spreadsheetml/2006/main" count="91" uniqueCount="40">
  <si>
    <t>componente</t>
  </si>
  <si>
    <t>quantidade</t>
  </si>
  <si>
    <t>link de compra</t>
  </si>
  <si>
    <t>local de compra</t>
  </si>
  <si>
    <t>prioridade</t>
  </si>
  <si>
    <t>preço por unidade</t>
  </si>
  <si>
    <t>preço total</t>
  </si>
  <si>
    <t>total(acumulado)</t>
  </si>
  <si>
    <t>lm339</t>
  </si>
  <si>
    <t>link</t>
  </si>
  <si>
    <t>digikey</t>
  </si>
  <si>
    <t>alta</t>
  </si>
  <si>
    <t>74hct14</t>
  </si>
  <si>
    <t>chave</t>
  </si>
  <si>
    <t>smartkits</t>
  </si>
  <si>
    <t>barra de pinos</t>
  </si>
  <si>
    <t>protoboard 760 pinos</t>
  </si>
  <si>
    <t>autocore</t>
  </si>
  <si>
    <t>media</t>
  </si>
  <si>
    <t>74hct390</t>
  </si>
  <si>
    <t>baixa</t>
  </si>
  <si>
    <t>display bcd catodo comum</t>
  </si>
  <si>
    <t>smatkits</t>
  </si>
  <si>
    <t xml:space="preserve">display bcd anodo comum </t>
  </si>
  <si>
    <t>smartikits</t>
  </si>
  <si>
    <t>Mc14495</t>
  </si>
  <si>
    <t>não tem</t>
  </si>
  <si>
    <t>não achei</t>
  </si>
  <si>
    <t>uln2803a</t>
  </si>
  <si>
    <t xml:space="preserve">trimpot </t>
  </si>
  <si>
    <t>led 5mm</t>
  </si>
  <si>
    <t>diodo</t>
  </si>
  <si>
    <t>resistor pull up</t>
  </si>
  <si>
    <t>arduino nano</t>
  </si>
  <si>
    <t>jumper m/m</t>
  </si>
  <si>
    <t>resistor 220</t>
  </si>
  <si>
    <t>resistor 1k</t>
  </si>
  <si>
    <t>resistor 4.7k</t>
  </si>
  <si>
    <t>resistor 6.8k</t>
  </si>
  <si>
    <t>resistor 15k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</si>
</sst>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martkits.com.br/display-de-7-segmentos-catodo" TargetMode="External"/><Relationship Id="rId13" Type="http://schemas.openxmlformats.org/officeDocument/2006/relationships/hyperlink" Target="https://www.digikey.com.br/pt/products/detail/bourns-inc/4610X-101-103LF/1089169" TargetMode="External"/><Relationship Id="rId18" Type="http://schemas.openxmlformats.org/officeDocument/2006/relationships/hyperlink" Target="https://www.smartkits.com.br/resistor-270r-14w-5-10-unidades" TargetMode="External"/><Relationship Id="rId3" Type="http://schemas.openxmlformats.org/officeDocument/2006/relationships/hyperlink" Target="https://www.smartkits.com.br/chave-alavanca-mts-102-de-2-posicoes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www.smartkits.com.br/display-de-7-segmentos-5161bs" TargetMode="External"/><Relationship Id="rId12" Type="http://schemas.openxmlformats.org/officeDocument/2006/relationships/hyperlink" Target="https://www.smartkits.com.br/diodo-retificador-1n4007" TargetMode="External"/><Relationship Id="rId17" Type="http://schemas.openxmlformats.org/officeDocument/2006/relationships/hyperlink" Target="https://www.smartkits.com.br/componentes/resistores/resistor-18w/resistor-6-8k-18w-5-10-unidades" TargetMode="External"/><Relationship Id="rId2" Type="http://schemas.openxmlformats.org/officeDocument/2006/relationships/hyperlink" Target="https://www.digikey.com.br/pt/products/detail/texas-instruments/SN74HCT14N/376852" TargetMode="External"/><Relationship Id="rId16" Type="http://schemas.openxmlformats.org/officeDocument/2006/relationships/hyperlink" Target="https://www.smartkits.com.br/resistor-4k7-14w-5-10-unidades" TargetMode="External"/><Relationship Id="rId20" Type="http://schemas.openxmlformats.org/officeDocument/2006/relationships/hyperlink" Target="https://www.smartkits.com.br/kit-jumpers-u-140-unidades" TargetMode="External"/><Relationship Id="rId1" Type="http://schemas.openxmlformats.org/officeDocument/2006/relationships/hyperlink" Target="https://www.digikey.com.br/pt/products/detail/rochester-electronics-llc/LM339AN/15638671?s=N4IgjCBcoLQExVAYygFwE4FcCmAaEA9lANogCsIAugL74wAsiIKkAZgIYA2AznoSeDAB2emQo1aIBJFKcAtgGYFATirUgA" TargetMode="External"/><Relationship Id="rId6" Type="http://schemas.openxmlformats.org/officeDocument/2006/relationships/hyperlink" Target="https://www.digikey.com.br/pt/products/detail/rochester-electronics-llc/74HCT390N-652/11530968" TargetMode="External"/><Relationship Id="rId11" Type="http://schemas.openxmlformats.org/officeDocument/2006/relationships/hyperlink" Target="https://www.smartkits.com.br/led-difuso-5mm-vermelho" TargetMode="External"/><Relationship Id="rId5" Type="http://schemas.openxmlformats.org/officeDocument/2006/relationships/hyperlink" Target="https://www.autocorerobotica.com.br/protoboard-760-pontos" TargetMode="External"/><Relationship Id="rId15" Type="http://schemas.openxmlformats.org/officeDocument/2006/relationships/hyperlink" Target="https://www.smartkits.com.br/resistor-15k-14w-5-10-unidades" TargetMode="External"/><Relationship Id="rId10" Type="http://schemas.openxmlformats.org/officeDocument/2006/relationships/hyperlink" Target="https://www.smartkits.com.br/trimpot-3296w-10k-25-voltas" TargetMode="External"/><Relationship Id="rId19" Type="http://schemas.openxmlformats.org/officeDocument/2006/relationships/hyperlink" Target="https://www.smartkits.com.br/resistor-1k-2w-5" TargetMode="External"/><Relationship Id="rId4" Type="http://schemas.openxmlformats.org/officeDocument/2006/relationships/hyperlink" Target="https://www.smartkits.com.br/barra-de-pinos-femea-2x40-180-graus?parceiro=9390&amp;gad_source=1&amp;gad_campaignid=21299305126&amp;gbraid=0AAAAAoi72u1C2BMr33Nf_euI9CJZK4xNd&amp;gclid=CjwKCAjw5ZXQBhBdEiwAI5XVWQ35cPjePc53PREM2L10F1jit47J5oTOA_5LKrdzhGqTF_v8UjtdvRoCMvMQAvD_BwE" TargetMode="External"/><Relationship Id="rId9" Type="http://schemas.openxmlformats.org/officeDocument/2006/relationships/hyperlink" Target="https://www.digikey.com.br/pt/products/detail/stmicroelectronics/ULN2803A/599591" TargetMode="External"/><Relationship Id="rId14" Type="http://schemas.openxmlformats.org/officeDocument/2006/relationships/hyperlink" Target="https://www.smartkits.com.br/placa-nano-v3-0-cabo-usb-arduino-compativ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5F9CE-F299-4022-8EF2-FF6048C8D5EB}">
  <dimension ref="A1:H22"/>
  <sheetViews>
    <sheetView tabSelected="1" zoomScale="55" zoomScaleNormal="55" workbookViewId="0">
      <selection activeCell="A10" sqref="A10"/>
    </sheetView>
  </sheetViews>
  <sheetFormatPr defaultRowHeight="15"/>
  <cols>
    <col min="1" max="1" width="46.7109375" customWidth="1"/>
    <col min="2" max="2" width="32.7109375" customWidth="1"/>
    <col min="3" max="3" width="30.140625" customWidth="1"/>
    <col min="4" max="4" width="51.85546875" customWidth="1"/>
    <col min="5" max="5" width="19.42578125" customWidth="1"/>
    <col min="6" max="6" width="17.85546875" customWidth="1"/>
    <col min="7" max="7" width="15.5703125" customWidth="1"/>
    <col min="8" max="8" width="18.42578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5</v>
      </c>
      <c r="C2" s="1" t="s">
        <v>9</v>
      </c>
      <c r="D2" t="s">
        <v>10</v>
      </c>
      <c r="E2" t="s">
        <v>11</v>
      </c>
      <c r="F2">
        <v>1.2</v>
      </c>
      <c r="G2">
        <f>F2*B2</f>
        <v>6</v>
      </c>
      <c r="H2">
        <v>6</v>
      </c>
    </row>
    <row r="3" spans="1:8">
      <c r="A3" t="s">
        <v>12</v>
      </c>
      <c r="B3">
        <v>6</v>
      </c>
      <c r="C3" s="1" t="s">
        <v>9</v>
      </c>
      <c r="D3" t="s">
        <v>10</v>
      </c>
      <c r="E3" t="s">
        <v>11</v>
      </c>
      <c r="F3">
        <v>4</v>
      </c>
      <c r="G3">
        <f t="shared" ref="G3:G22" si="0">F3*B3</f>
        <v>24</v>
      </c>
      <c r="H3">
        <f>H2+G3</f>
        <v>30</v>
      </c>
    </row>
    <row r="4" spans="1:8">
      <c r="A4" t="s">
        <v>13</v>
      </c>
      <c r="B4">
        <v>10</v>
      </c>
      <c r="C4" s="1" t="s">
        <v>9</v>
      </c>
      <c r="D4" t="s">
        <v>14</v>
      </c>
      <c r="E4" t="s">
        <v>11</v>
      </c>
      <c r="F4">
        <v>4.9000000000000004</v>
      </c>
      <c r="G4">
        <f t="shared" si="0"/>
        <v>49</v>
      </c>
      <c r="H4">
        <f>H3+G4</f>
        <v>79</v>
      </c>
    </row>
    <row r="5" spans="1:8">
      <c r="A5" t="s">
        <v>15</v>
      </c>
      <c r="B5">
        <v>3</v>
      </c>
      <c r="C5" s="1" t="s">
        <v>9</v>
      </c>
      <c r="D5" t="s">
        <v>14</v>
      </c>
      <c r="E5" t="s">
        <v>11</v>
      </c>
      <c r="F5">
        <v>1.9</v>
      </c>
      <c r="G5">
        <f t="shared" si="0"/>
        <v>5.6999999999999993</v>
      </c>
      <c r="H5">
        <f t="shared" ref="H5:H22" si="1">H4+G5</f>
        <v>84.7</v>
      </c>
    </row>
    <row r="6" spans="1:8">
      <c r="A6" t="s">
        <v>16</v>
      </c>
      <c r="B6">
        <v>2</v>
      </c>
      <c r="C6" s="1" t="s">
        <v>9</v>
      </c>
      <c r="D6" t="s">
        <v>17</v>
      </c>
      <c r="E6" t="s">
        <v>18</v>
      </c>
      <c r="F6">
        <v>18.899999999999999</v>
      </c>
      <c r="G6">
        <f t="shared" si="0"/>
        <v>37.799999999999997</v>
      </c>
      <c r="H6">
        <f t="shared" si="1"/>
        <v>122.5</v>
      </c>
    </row>
    <row r="7" spans="1:8">
      <c r="A7" t="s">
        <v>19</v>
      </c>
      <c r="B7">
        <v>3</v>
      </c>
      <c r="C7" s="1" t="s">
        <v>9</v>
      </c>
      <c r="D7" t="s">
        <v>10</v>
      </c>
      <c r="E7" t="s">
        <v>20</v>
      </c>
      <c r="F7">
        <v>6.45</v>
      </c>
      <c r="G7">
        <f t="shared" si="0"/>
        <v>19.350000000000001</v>
      </c>
      <c r="H7">
        <f t="shared" si="1"/>
        <v>141.85</v>
      </c>
    </row>
    <row r="8" spans="1:8">
      <c r="A8" t="s">
        <v>21</v>
      </c>
      <c r="B8">
        <v>2</v>
      </c>
      <c r="C8" s="1" t="s">
        <v>9</v>
      </c>
      <c r="D8" t="s">
        <v>22</v>
      </c>
      <c r="E8" t="s">
        <v>11</v>
      </c>
      <c r="F8">
        <v>2.9</v>
      </c>
      <c r="G8">
        <f t="shared" si="0"/>
        <v>5.8</v>
      </c>
      <c r="H8">
        <f t="shared" si="1"/>
        <v>147.65</v>
      </c>
    </row>
    <row r="9" spans="1:8">
      <c r="A9" t="s">
        <v>23</v>
      </c>
      <c r="B9">
        <v>2</v>
      </c>
      <c r="C9" s="1" t="s">
        <v>9</v>
      </c>
      <c r="D9" t="s">
        <v>24</v>
      </c>
      <c r="E9" t="s">
        <v>20</v>
      </c>
      <c r="F9">
        <v>2.9</v>
      </c>
      <c r="G9">
        <f t="shared" si="0"/>
        <v>5.8</v>
      </c>
      <c r="H9">
        <f t="shared" si="1"/>
        <v>153.45000000000002</v>
      </c>
    </row>
    <row r="10" spans="1:8">
      <c r="A10" t="s">
        <v>25</v>
      </c>
      <c r="B10">
        <v>2</v>
      </c>
      <c r="C10" t="s">
        <v>26</v>
      </c>
      <c r="D10" t="s">
        <v>27</v>
      </c>
      <c r="G10">
        <f t="shared" si="0"/>
        <v>0</v>
      </c>
      <c r="H10">
        <f t="shared" si="1"/>
        <v>153.45000000000002</v>
      </c>
    </row>
    <row r="11" spans="1:8">
      <c r="A11" t="s">
        <v>28</v>
      </c>
      <c r="B11">
        <v>2</v>
      </c>
      <c r="C11" s="1" t="s">
        <v>9</v>
      </c>
      <c r="D11" t="s">
        <v>10</v>
      </c>
      <c r="E11" t="s">
        <v>11</v>
      </c>
      <c r="F11">
        <v>9.06</v>
      </c>
      <c r="G11">
        <f t="shared" si="0"/>
        <v>18.12</v>
      </c>
      <c r="H11">
        <f t="shared" si="1"/>
        <v>171.57000000000002</v>
      </c>
    </row>
    <row r="12" spans="1:8">
      <c r="A12" t="s">
        <v>29</v>
      </c>
      <c r="B12">
        <v>7</v>
      </c>
      <c r="C12" s="1" t="s">
        <v>9</v>
      </c>
      <c r="D12" t="s">
        <v>14</v>
      </c>
      <c r="E12" t="s">
        <v>11</v>
      </c>
      <c r="F12">
        <v>1.8</v>
      </c>
      <c r="G12">
        <f t="shared" si="0"/>
        <v>12.6</v>
      </c>
      <c r="H12">
        <f t="shared" si="1"/>
        <v>184.17000000000002</v>
      </c>
    </row>
    <row r="13" spans="1:8">
      <c r="A13" t="s">
        <v>30</v>
      </c>
      <c r="B13">
        <v>15</v>
      </c>
      <c r="C13" s="1" t="s">
        <v>9</v>
      </c>
      <c r="D13" t="s">
        <v>24</v>
      </c>
      <c r="E13" t="s">
        <v>11</v>
      </c>
      <c r="F13">
        <v>0.2</v>
      </c>
      <c r="G13">
        <f t="shared" si="0"/>
        <v>3</v>
      </c>
      <c r="H13">
        <f t="shared" si="1"/>
        <v>187.17000000000002</v>
      </c>
    </row>
    <row r="14" spans="1:8">
      <c r="A14" t="s">
        <v>31</v>
      </c>
      <c r="B14">
        <v>30</v>
      </c>
      <c r="C14" s="1" t="s">
        <v>9</v>
      </c>
      <c r="D14" t="s">
        <v>14</v>
      </c>
      <c r="E14" t="s">
        <v>20</v>
      </c>
      <c r="F14">
        <v>0.2</v>
      </c>
      <c r="G14">
        <f t="shared" si="0"/>
        <v>6</v>
      </c>
      <c r="H14">
        <f t="shared" si="1"/>
        <v>193.17000000000002</v>
      </c>
    </row>
    <row r="15" spans="1:8">
      <c r="A15" t="s">
        <v>32</v>
      </c>
      <c r="B15">
        <v>5</v>
      </c>
      <c r="C15" s="1" t="s">
        <v>9</v>
      </c>
      <c r="D15" t="s">
        <v>10</v>
      </c>
      <c r="E15" t="s">
        <v>11</v>
      </c>
      <c r="F15">
        <v>2</v>
      </c>
      <c r="G15">
        <f t="shared" si="0"/>
        <v>10</v>
      </c>
      <c r="H15">
        <f t="shared" si="1"/>
        <v>203.17000000000002</v>
      </c>
    </row>
    <row r="16" spans="1:8">
      <c r="A16" t="s">
        <v>33</v>
      </c>
      <c r="B16">
        <v>1</v>
      </c>
      <c r="C16" s="1" t="s">
        <v>9</v>
      </c>
      <c r="D16" t="s">
        <v>14</v>
      </c>
      <c r="E16" t="s">
        <v>11</v>
      </c>
      <c r="F16">
        <v>29.9</v>
      </c>
      <c r="G16">
        <f t="shared" si="0"/>
        <v>29.9</v>
      </c>
      <c r="H16">
        <f t="shared" si="1"/>
        <v>233.07000000000002</v>
      </c>
    </row>
    <row r="17" spans="1:8">
      <c r="A17" t="s">
        <v>34</v>
      </c>
      <c r="B17">
        <v>1</v>
      </c>
      <c r="C17" s="1" t="s">
        <v>9</v>
      </c>
      <c r="D17" t="s">
        <v>24</v>
      </c>
      <c r="E17" t="s">
        <v>18</v>
      </c>
      <c r="F17">
        <v>13.9</v>
      </c>
      <c r="G17">
        <f t="shared" si="0"/>
        <v>13.9</v>
      </c>
      <c r="H17">
        <f t="shared" si="1"/>
        <v>246.97000000000003</v>
      </c>
    </row>
    <row r="18" spans="1:8">
      <c r="A18" t="s">
        <v>35</v>
      </c>
      <c r="B18">
        <v>20</v>
      </c>
      <c r="C18" s="1" t="s">
        <v>9</v>
      </c>
      <c r="D18" t="s">
        <v>14</v>
      </c>
      <c r="E18" t="s">
        <v>18</v>
      </c>
      <c r="F18">
        <v>7.0000000000000007E-2</v>
      </c>
      <c r="G18">
        <f t="shared" si="0"/>
        <v>1.4000000000000001</v>
      </c>
      <c r="H18">
        <f t="shared" si="1"/>
        <v>248.37000000000003</v>
      </c>
    </row>
    <row r="19" spans="1:8">
      <c r="A19" t="s">
        <v>36</v>
      </c>
      <c r="B19">
        <v>10</v>
      </c>
      <c r="C19" s="1" t="s">
        <v>9</v>
      </c>
      <c r="D19" t="s">
        <v>14</v>
      </c>
      <c r="E19" t="s">
        <v>18</v>
      </c>
      <c r="F19">
        <v>0.03</v>
      </c>
      <c r="G19">
        <f t="shared" si="0"/>
        <v>0.3</v>
      </c>
      <c r="H19">
        <f t="shared" si="1"/>
        <v>248.67000000000004</v>
      </c>
    </row>
    <row r="20" spans="1:8">
      <c r="A20" t="s">
        <v>37</v>
      </c>
      <c r="B20">
        <v>10</v>
      </c>
      <c r="C20" s="1" t="s">
        <v>9</v>
      </c>
      <c r="D20" t="s">
        <v>14</v>
      </c>
      <c r="E20" t="s">
        <v>18</v>
      </c>
      <c r="F20">
        <v>7.0000000000000007E-2</v>
      </c>
      <c r="G20">
        <f t="shared" si="0"/>
        <v>0.70000000000000007</v>
      </c>
      <c r="H20">
        <f t="shared" si="1"/>
        <v>249.37000000000003</v>
      </c>
    </row>
    <row r="21" spans="1:8">
      <c r="A21" t="s">
        <v>38</v>
      </c>
      <c r="B21">
        <v>10</v>
      </c>
      <c r="C21" s="1" t="s">
        <v>9</v>
      </c>
      <c r="D21" t="s">
        <v>14</v>
      </c>
      <c r="E21" t="s">
        <v>18</v>
      </c>
      <c r="F21">
        <v>7.0000000000000007E-2</v>
      </c>
      <c r="G21">
        <f t="shared" si="0"/>
        <v>0.70000000000000007</v>
      </c>
      <c r="H21">
        <f t="shared" si="1"/>
        <v>250.07000000000002</v>
      </c>
    </row>
    <row r="22" spans="1:8">
      <c r="A22" t="s">
        <v>39</v>
      </c>
      <c r="B22">
        <v>20</v>
      </c>
      <c r="C22" s="1" t="s">
        <v>9</v>
      </c>
      <c r="D22" t="s">
        <v>14</v>
      </c>
      <c r="E22" t="s">
        <v>18</v>
      </c>
      <c r="F22">
        <v>7.0000000000000007E-2</v>
      </c>
      <c r="G22">
        <f t="shared" si="0"/>
        <v>1.4000000000000001</v>
      </c>
      <c r="H22">
        <f t="shared" si="1"/>
        <v>251.47000000000003</v>
      </c>
    </row>
  </sheetData>
  <hyperlinks>
    <hyperlink ref="C2" r:id="rId1" xr:uid="{F70B39CA-992B-4328-9ACD-8C625A5717D6}"/>
    <hyperlink ref="C3" r:id="rId2" xr:uid="{F145265A-DD13-4482-945A-06434BE522A9}"/>
    <hyperlink ref="C4" r:id="rId3" xr:uid="{FFE23F54-D508-4249-B761-A243A0102D80}"/>
    <hyperlink ref="C5" r:id="rId4" xr:uid="{CB8BC5DE-43AB-410B-8642-4F0A1EE94AEB}"/>
    <hyperlink ref="C6" r:id="rId5" xr:uid="{27EB517C-E8C5-4800-982E-0E37C156CAC5}"/>
    <hyperlink ref="C7" r:id="rId6" xr:uid="{D94AFF8C-779F-4367-94BB-F6E29BE0743B}"/>
    <hyperlink ref="C9" r:id="rId7" xr:uid="{B4D87580-3742-4EFC-B254-ACDF647F52CC}"/>
    <hyperlink ref="C8" r:id="rId8" xr:uid="{E48FFD36-A63A-41F8-BB6A-D565351AC972}"/>
    <hyperlink ref="C11" r:id="rId9" xr:uid="{FD46C20C-1C58-40B5-A18F-F4A681F45B03}"/>
    <hyperlink ref="C12" r:id="rId10" xr:uid="{49757ECA-880A-4BC7-8F17-5B884000A9FD}"/>
    <hyperlink ref="C13" r:id="rId11" xr:uid="{4993E923-5087-4D97-BBED-167D8CD78FA3}"/>
    <hyperlink ref="C14" r:id="rId12" xr:uid="{11148069-6787-4BBA-AE05-D865C4D027C4}"/>
    <hyperlink ref="C15" r:id="rId13" xr:uid="{B1C867FE-4D45-46BE-BE07-80A4F7AC62EA}"/>
    <hyperlink ref="C16" r:id="rId14" xr:uid="{395FAC2C-F151-496D-BF0E-14EB84C6AB39}"/>
    <hyperlink ref="C22" r:id="rId15" xr:uid="{5AF5EB2C-7163-4E12-A757-A01FAF390B9D}"/>
    <hyperlink ref="C20" r:id="rId16" xr:uid="{EE3C038C-3071-4DE7-B307-CBEE69EA8B69}"/>
    <hyperlink ref="C21" r:id="rId17" xr:uid="{2CFF5622-9F57-480B-9287-6AD28DA90CA7}"/>
    <hyperlink ref="C18" r:id="rId18" xr:uid="{F636585E-7BDB-4AF1-A913-FE6952D77A8F}"/>
    <hyperlink ref="C19" r:id="rId19" xr:uid="{EA17EB41-0CCB-435D-AF5C-310A34B36711}"/>
    <hyperlink ref="C17" r:id="rId20" xr:uid="{8F388224-5D21-40FD-AC1E-A92FB40D450B}"/>
  </hyperlinks>
  <pageMargins left="0.511811024" right="0.511811024" top="0.78740157499999996" bottom="0.78740157499999996" header="0.31496062000000002" footer="0.31496062000000002"/>
  <pageSetup paperSize="9"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Gustavo Seabra</dc:creator>
  <cp:keywords/>
  <dc:description/>
  <cp:lastModifiedBy>Usuário Convidado</cp:lastModifiedBy>
  <cp:revision/>
  <dcterms:created xsi:type="dcterms:W3CDTF">2026-05-14T12:06:05Z</dcterms:created>
  <dcterms:modified xsi:type="dcterms:W3CDTF">2026-05-15T13:56:24Z</dcterms:modified>
  <cp:category/>
  <cp:contentStatus/>
</cp:coreProperties>
</file>